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<sst xmlns="http://schemas.openxmlformats.org/spreadsheetml/2006/main" count="272" uniqueCount="195">
  <si>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</si>
  <si>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</si>
  <si>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</si>
  <si>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</si>
  <si>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</si>
  <si>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</si>
  <si>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</si>
  <si>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</si>
  <si>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</si>
  <si>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</si>
  <si>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</si>
  <si>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</si>
  <si>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</si>
  <si>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</si>
  <si>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</si>
  <si>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</si>
  <si>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</si>
  <si>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</si>
  <si>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</si>
  <si>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</si>
  <si>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</si>
  <si>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</si>
  <si>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</si>
  <si>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</si>
  <si>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</si>
  <si>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</si>
  <si>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</si>
  <si>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</si>
  <si>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</si>
  <si>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</si>
  <si>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</si>
  <si>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</si>
  <si>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</si>
  <si>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</si>
  <si>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</si>
  <si>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</si>
  <si>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</si>
  <si>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</si>
  <si>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</si>
  <si>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</si>
  <si>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</si>
  <si>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</si>
  <si>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</si>
  <si>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</si>
  <si>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</si>
  <si>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</si>
  <si>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</si>
  <si>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</si>
  <si>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</si>
  <si>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</si>
  <si>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</si>
  <si>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</si>
  <si>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</si>
  <si>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</si>
  <si>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</si>
  <si>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</si>
  <si>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</si>
  <si>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</si>
  <si>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</si>
  <si>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</si>
  <si>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</si>
  <si>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</si>
  <si>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</si>
  <si>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</si>
  <si>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</si>
  <si>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</si>
  <si>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</si>
  <si>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</si>
  <si>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</si>
  <si>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</si>
  <si>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</si>
  <si>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</si>
  <si>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</si>
  <si>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</si>
  <si>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</si>
  <si>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</si>
  <si>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</si>
  <si>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</si>
  <si>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</si>
  <si>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</si>
  <si>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</si>
  <si>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</si>
  <si>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</si>
  <si>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</si>
  <si>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</si>
  <si>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</si>
  <si>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</si>
  <si>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</si>
  <si>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</si>
  <si>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</si>
  <si>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</si>
  <si>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</si>
  <si>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</si>
  <si>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</si>
  <si>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</si>
  <si>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</si>
  <si>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</si>
  <si>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</si>
  <si>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</si>
  <si>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</si>
  <si>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</si>
  <si>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</si>
  <si>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</si>
  <si>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</si>
  <si>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</si>
  <si>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</si>
  <si>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</si>
  <si>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</si>
  <si>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</si>
  <si>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</si>
  <si>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</si>
  <si>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</si>
  <si>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</si>
  <si>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</si>
  <si>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</si>
  <si>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</si>
  <si>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</si>
  <si>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</si>
  <si>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</si>
  <si>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</si>
  <si>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</si>
  <si>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</si>
  <si>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</si>
  <si>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</si>
  <si>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</si>
  <si>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</si>
  <si>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</si>
  <si>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</si>
  <si>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</si>
  <si>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</si>
  <si>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</si>
  <si>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</si>
  <si>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</si>
  <si>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</si>
  <si>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</si>
  <si>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</si>
  <si>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</si>
  <si>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</si>
  <si>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</si>
  <si>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</si>
  <si>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</si>
  <si>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</si>
  <si>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</si>
  <si>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</si>
  <si>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</si>
  <si>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</si>
  <si>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</si>
  <si>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</si>
  <si>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</si>
  <si>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</si>
  <si>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</si>
  <si>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</si>
  <si>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</si>
  <si>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</si>
  <si>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</si>
  <si>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</si>
  <si>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</si>
  <si>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</si>
  <si>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</si>
  <si>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</si>
  <si>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</si>
  <si>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</si>
  <si>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</si>
  <si>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</si>
  <si>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</si>
  <si>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</si>
  <si>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</si>
  <si>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</si>
  <si>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</si>
  <si>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</si>
  <si>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</si>
  <si>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</si>
  <si>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</si>
  <si>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</si>
  <si>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</si>
  <si>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Financial</t>
  </si>
  <si>
    <t>Customer</t>
  </si>
  <si>
    <t>Learning &amp; Growth</t>
  </si>
  <si>
    <t>7</t>
  </si>
  <si>
    <t>Pencapaian Target Penjualan Harian</t>
  </si>
  <si>
    <t>Kontrol Biaya Operasional</t>
  </si>
  <si>
    <t>Kepuasan Pelanggan (Customer Rating)</t>
  </si>
  <si>
    <t>Ketersediaan Stok &amp; Waste Kontrol</t>
  </si>
  <si>
    <t>Kedisiplinan Operasional Harian</t>
  </si>
  <si>
    <t>Business Process</t>
  </si>
  <si>
    <t>≥ 90% dari target bulanan</t>
  </si>
  <si>
    <t>≤ budget yang ditentukan</t>
  </si>
  <si>
    <t>≥ 85% kepuasan</t>
  </si>
  <si>
    <t>≤ 3% food waste &amp; stok aman</t>
  </si>
  <si>
    <t>≥ 95% pelaksanaan SOP harian</t>
  </si>
  <si>
    <t>(Total Penjualan : Target ) x 100%</t>
  </si>
  <si>
    <t>( Biaya Aktual : Budget ) x 100 %</t>
  </si>
  <si>
    <t>Skor rata2 Survey CS</t>
  </si>
  <si>
    <t>Persentase waste &amp; Laporan Harian</t>
  </si>
  <si>
    <t>Checlist harian &amp; audit operasional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</si>
</sst>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70"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9">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170" fontId="17" fillId="2" borderId="69" xfId="5" applyNumberFormat="1" applyFont="1" applyFill="1" applyBorder="1" applyAlignment="1" applyProtection="1">
      <alignment horizontal="center" vertical="center"/>
      <protection locked="0"/>
    </xf>
    <xf numFmtId="170" fontId="17" fillId="2" borderId="62" xfId="5" applyNumberFormat="1" applyFont="1" applyFill="1" applyBorder="1" applyAlignment="1" applyProtection="1">
      <alignment horizontal="center" vertical="center"/>
      <protection locked="0"/>
    </xf>
    <xf numFmtId="170" fontId="17" fillId="2" borderId="7" xfId="5" applyNumberFormat="1" applyFont="1" applyFill="1" applyBorder="1" applyAlignment="1" applyProtection="1">
      <alignment horizontal="center" vertical="center"/>
      <protection locked="0"/>
    </xf>
    <xf numFmtId="170" fontId="17" fillId="2" borderId="18" xfId="5" applyNumberFormat="1" applyFont="1" applyFill="1" applyBorder="1" applyAlignment="1" applyProtection="1">
      <alignment horizontal="center" vertical="center"/>
      <protection locked="0"/>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70" fontId="12" fillId="2" borderId="69" xfId="5" applyNumberFormat="1" applyFont="1" applyFill="1" applyBorder="1" applyAlignment="1" applyProtection="1">
      <alignment horizontal="center" vertical="center"/>
      <protection locked="0"/>
    </xf>
    <xf numFmtId="170" fontId="12" fillId="2" borderId="62" xfId="5" applyNumberFormat="1" applyFont="1" applyFill="1" applyBorder="1" applyAlignment="1" applyProtection="1">
      <alignment horizontal="center" vertical="center"/>
      <protection locked="0"/>
    </xf>
    <xf numFmtId="170" fontId="12" fillId="2" borderId="68" xfId="5" applyNumberFormat="1" applyFont="1" applyFill="1" applyBorder="1" applyAlignment="1" applyProtection="1">
      <alignment horizontal="center" vertical="center"/>
      <protection locked="0"/>
    </xf>
    <xf numFmtId="170" fontId="12" fillId="2" borderId="64"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2" fillId="0" borderId="8" xfId="0" applyFont="1" applyFill="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Border="1" applyAlignment="1">
      <alignment horizontal="center" vertical="top" wrapText="1"/>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0" fillId="0" borderId="8" xfId="0" applyBorder="1"/>
    <xf numFmtId="49" fontId="18" fillId="0" borderId="8" xfId="0" applyNumberFormat="1" applyFont="1" applyBorder="1" applyAlignment="1" applyProtection="1">
      <alignment vertical="center"/>
      <protection locked="0"/>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4" xfId="0" applyNumberFormat="1" applyFont="1" applyBorder="1" applyAlignment="1" applyProtection="1">
      <alignment horizontal="center" vertical="center" wrapText="1"/>
    </xf>
    <xf numFmtId="0" fontId="0" fillId="0" borderId="19" xfId="0" applyBorder="1"/>
    <xf numFmtId="0" fontId="0" fillId="0" borderId="8" xfId="0" applyBorder="1" applyAlignment="1">
      <alignment horizontal="left" vertical="top"/>
    </xf>
    <xf numFmtId="0" fontId="0" fillId="0" borderId="8" xfId="0" applyBorder="1" applyAlignment="1">
      <alignment horizontal="left" vertical="top" wrapText="1"/>
    </xf>
    <xf numFmtId="0" fontId="0" fillId="0" borderId="8" xfId="0"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389"/>
      <c r="R1" s="389"/>
      <c r="S1" s="38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390" t="s">
        <v>21</v>
      </c>
      <c r="C38" s="390"/>
      <c r="D38" s="390"/>
      <c r="E38" s="390"/>
      <c r="F38" s="390"/>
      <c r="G38" s="390"/>
      <c r="H38" s="390"/>
      <c r="I38" s="390"/>
      <c r="J38" s="390"/>
      <c r="K38" s="390"/>
      <c r="L38" s="390"/>
      <c r="M38" s="390"/>
      <c r="N38" s="390"/>
      <c r="O38" s="390"/>
      <c r="P38" s="390"/>
      <c r="Q38" s="390"/>
      <c r="R38" s="390"/>
      <c r="S38" s="390"/>
      <c r="T38" s="390"/>
      <c r="U38" s="390"/>
      <c r="V38" s="39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391"/>
      <c r="B40" s="392"/>
      <c r="C40" s="392"/>
      <c r="D40" s="392"/>
      <c r="E40" s="392"/>
      <c r="F40" s="392"/>
      <c r="G40" s="393"/>
      <c r="H40" s="356"/>
      <c r="I40" s="358" t="s">
        <v>22</v>
      </c>
      <c r="J40" s="358"/>
      <c r="K40" s="358"/>
      <c r="L40" s="358"/>
      <c r="M40" s="358"/>
      <c r="N40" s="358"/>
      <c r="O40" s="358"/>
      <c r="P40" s="358"/>
      <c r="Q40" s="358"/>
      <c r="R40" s="358"/>
      <c r="S40" s="358"/>
      <c r="T40" s="357"/>
      <c r="U40" s="357"/>
      <c r="V40" s="357"/>
      <c r="W40" s="383"/>
    </row>
    <row r="41" spans="1:24" s="346" customFormat="1" ht="16.5">
      <c r="A41" s="394" t="s">
        <v>23</v>
      </c>
      <c r="B41" s="395"/>
      <c r="C41" s="395"/>
      <c r="D41" s="395"/>
      <c r="E41" s="395"/>
      <c r="F41" s="395"/>
      <c r="G41" s="396"/>
      <c r="H41" s="356"/>
      <c r="I41" s="363"/>
      <c r="J41" s="363"/>
      <c r="K41" s="363"/>
      <c r="L41" s="363"/>
      <c r="M41" s="358"/>
      <c r="N41" s="363"/>
      <c r="O41" s="363"/>
      <c r="P41" s="363"/>
      <c r="Q41" s="363"/>
      <c r="R41" s="358"/>
      <c r="S41" s="363"/>
      <c r="T41" s="362"/>
      <c r="U41" s="362"/>
      <c r="V41" s="357"/>
      <c r="W41" s="383"/>
    </row>
    <row r="42" spans="1:24" s="346" customFormat="1" ht="16.5">
      <c r="A42" s="397"/>
      <c r="B42" s="398"/>
      <c r="C42" s="398"/>
      <c r="D42" s="398"/>
      <c r="E42" s="398"/>
      <c r="F42" s="398"/>
      <c r="G42" s="39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opLeftCell="B4" workbookViewId="0">
      <selection activeCell="F8" sqref="F8:F12"/>
    </sheetView>
  </sheetViews>
  <sheetFormatPr defaultColWidth="9.140625" defaultRowHeight="12.75"/>
  <cols>
    <col min="1" max="1" width="5.5703125" style="2" customWidth="1"/>
    <col min="2" max="2" width="21.140625" style="2" customWidth="1"/>
    <col min="3" max="3" width="37.85546875" style="2" customWidth="1"/>
    <col min="4" max="4" width="28.7109375" style="2" customWidth="1"/>
    <col min="5" max="5" width="11.85546875" style="2" customWidth="1"/>
    <col min="6" max="6" width="9.85546875" style="2" customWidth="1"/>
    <col min="7" max="7" width="5.85546875" style="2" customWidth="1"/>
    <col min="8" max="8" width="28.1406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528" t="s">
        <v>25</v>
      </c>
      <c r="B6" s="528" t="s">
        <v>26</v>
      </c>
      <c r="C6" s="433" t="s">
        <v>27</v>
      </c>
      <c r="D6" s="435" t="s">
        <v>28</v>
      </c>
      <c r="E6" s="437" t="s">
        <v>29</v>
      </c>
      <c r="F6" s="437" t="s">
        <v>30</v>
      </c>
      <c r="G6" s="433" t="s">
        <v>31</v>
      </c>
      <c r="H6" s="438"/>
      <c r="I6" s="433" t="s">
        <v>32</v>
      </c>
      <c r="J6" s="438"/>
      <c r="K6" s="82"/>
      <c r="L6" s="309"/>
    </row>
    <row r="7" spans="1:12" s="306" customFormat="1" ht="18" customHeight="1">
      <c r="A7" s="529"/>
      <c r="B7" s="534"/>
      <c r="C7" s="434"/>
      <c r="D7" s="436"/>
      <c r="E7" s="436"/>
      <c r="F7" s="436"/>
      <c r="G7" s="434"/>
      <c r="H7" s="439"/>
      <c r="I7" s="440"/>
      <c r="J7" s="441"/>
      <c r="K7" s="82"/>
      <c r="L7" s="309"/>
    </row>
    <row r="8" spans="1:12" s="307" customFormat="1" ht="16.5">
      <c r="A8" s="530" t="s">
        <v>68</v>
      </c>
      <c r="B8" s="536" t="s">
        <v>175</v>
      </c>
      <c r="C8" s="536" t="s">
        <v>179</v>
      </c>
      <c r="D8" s="538" t="s">
        <v>185</v>
      </c>
      <c r="E8" s="317"/>
      <c r="F8" s="318">
        <v>20</v>
      </c>
      <c r="G8" s="409" t="s">
        <v>190</v>
      </c>
      <c r="H8" s="409"/>
      <c r="I8" s="410"/>
      <c r="J8" s="410"/>
      <c r="K8" s="83"/>
      <c r="L8" s="341"/>
    </row>
    <row r="9" spans="1:12" s="308" customFormat="1" ht="16.5">
      <c r="A9" s="531" t="s">
        <v>69</v>
      </c>
      <c r="B9" s="537" t="s">
        <v>175</v>
      </c>
      <c r="C9" s="537" t="s">
        <v>180</v>
      </c>
      <c r="D9" s="538" t="s">
        <v>186</v>
      </c>
      <c r="E9" s="320"/>
      <c r="F9" s="321">
        <v>15</v>
      </c>
      <c r="G9" s="409" t="s">
        <v>191</v>
      </c>
      <c r="H9" s="409"/>
      <c r="I9" s="412"/>
      <c r="J9" s="412"/>
      <c r="K9" s="84"/>
      <c r="L9" s="342"/>
    </row>
    <row r="10" spans="1:12" s="308" customFormat="1" ht="16.5">
      <c r="A10" s="530" t="s">
        <v>70</v>
      </c>
      <c r="B10" s="537" t="s">
        <v>176</v>
      </c>
      <c r="C10" s="537" t="s">
        <v>181</v>
      </c>
      <c r="D10" s="538" t="s">
        <v>187</v>
      </c>
      <c r="E10" s="320"/>
      <c r="F10" s="321">
        <v>15</v>
      </c>
      <c r="G10" s="411" t="s">
        <v>192</v>
      </c>
      <c r="H10" s="411"/>
      <c r="I10" s="412"/>
      <c r="J10" s="412"/>
      <c r="K10" s="84"/>
      <c r="L10" s="342"/>
    </row>
    <row r="11" spans="1:12" s="308" customFormat="1" ht="16.5">
      <c r="A11" s="531" t="s">
        <v>71</v>
      </c>
      <c r="B11" s="536" t="s">
        <v>184</v>
      </c>
      <c r="C11" s="536" t="s">
        <v>182</v>
      </c>
      <c r="D11" s="526" t="s">
        <v>188</v>
      </c>
      <c r="E11" s="322"/>
      <c r="F11" s="321">
        <v>10</v>
      </c>
      <c r="G11" s="411" t="s">
        <v>193</v>
      </c>
      <c r="H11" s="411"/>
      <c r="I11" s="412"/>
      <c r="J11" s="412"/>
      <c r="K11" s="84"/>
      <c r="L11" s="342"/>
    </row>
    <row r="12" spans="1:12" s="308" customFormat="1" ht="16.5">
      <c r="A12" s="530" t="s">
        <v>72</v>
      </c>
      <c r="B12" s="537" t="s">
        <v>177</v>
      </c>
      <c r="C12" s="537" t="s">
        <v>183</v>
      </c>
      <c r="D12" s="538" t="s">
        <v>189</v>
      </c>
      <c r="E12" s="323"/>
      <c r="F12" s="321">
        <v>10</v>
      </c>
      <c r="G12" s="411" t="s">
        <v>194</v>
      </c>
      <c r="H12" s="411"/>
      <c r="I12" s="412"/>
      <c r="J12" s="412"/>
      <c r="K12" s="84"/>
      <c r="L12" s="342"/>
    </row>
    <row r="13" spans="1:12" s="308" customFormat="1" ht="16.5">
      <c r="A13" s="531" t="s">
        <v>174</v>
      </c>
      <c r="C13" s="535"/>
      <c r="E13" s="320"/>
      <c r="F13" s="321"/>
      <c r="G13" s="411"/>
      <c r="H13" s="411"/>
      <c r="I13" s="412"/>
      <c r="J13" s="412"/>
      <c r="K13" s="84"/>
      <c r="L13" s="342"/>
    </row>
    <row r="14" spans="1:12" s="308" customFormat="1" ht="16.5">
      <c r="A14" s="530" t="s">
        <v>178</v>
      </c>
      <c r="B14" s="526"/>
      <c r="C14" s="526"/>
      <c r="D14" s="526"/>
      <c r="E14" s="320"/>
      <c r="F14" s="321"/>
      <c r="G14" s="411"/>
      <c r="H14" s="411"/>
      <c r="I14" s="412"/>
      <c r="J14" s="412"/>
      <c r="K14" s="84"/>
      <c r="L14" s="342"/>
    </row>
    <row r="15" spans="1:12" s="308" customFormat="1" ht="16.5">
      <c r="A15" s="527"/>
      <c r="B15" s="527"/>
      <c r="C15" s="30"/>
      <c r="D15" s="319"/>
      <c r="E15" s="320"/>
      <c r="F15" s="321"/>
      <c r="G15" s="413"/>
      <c r="H15" s="413"/>
      <c r="I15" s="412"/>
      <c r="J15" s="412"/>
      <c r="K15" s="84"/>
      <c r="L15" s="342"/>
    </row>
    <row r="16" spans="1:12" s="308" customFormat="1" ht="16.5">
      <c r="A16" s="527"/>
      <c r="B16" s="30"/>
      <c r="C16" s="30"/>
      <c r="D16" s="319"/>
      <c r="E16" s="320"/>
      <c r="F16" s="321"/>
      <c r="G16" s="413"/>
      <c r="H16" s="413"/>
      <c r="I16" s="412"/>
      <c r="J16" s="412"/>
      <c r="K16" s="84"/>
      <c r="L16" s="342"/>
    </row>
    <row r="17" spans="1:12" s="306" customFormat="1" ht="15">
      <c r="A17" s="532"/>
      <c r="B17" s="34"/>
      <c r="C17" s="30"/>
      <c r="D17" s="324"/>
      <c r="E17" s="320"/>
      <c r="F17" s="321"/>
      <c r="G17" s="414"/>
      <c r="H17" s="414"/>
      <c r="I17" s="415"/>
      <c r="J17" s="415"/>
      <c r="K17" s="82"/>
      <c r="L17" s="342"/>
    </row>
    <row r="18" spans="1:12" s="306" customFormat="1" ht="15" customHeight="1">
      <c r="A18" s="532"/>
      <c r="B18" s="34"/>
      <c r="C18" s="30"/>
      <c r="D18" s="324"/>
      <c r="E18" s="320"/>
      <c r="F18" s="321"/>
      <c r="G18" s="416"/>
      <c r="H18" s="416"/>
      <c r="I18" s="415"/>
      <c r="J18" s="415"/>
      <c r="K18" s="82"/>
      <c r="L18" s="342"/>
    </row>
    <row r="19" spans="1:12" s="306" customFormat="1" ht="15.75" thickBot="1">
      <c r="A19" s="532"/>
      <c r="B19" s="34"/>
      <c r="C19" s="325"/>
      <c r="D19" s="324"/>
      <c r="E19" s="35"/>
      <c r="F19" s="36"/>
      <c r="G19" s="417"/>
      <c r="H19" s="417"/>
      <c r="I19" s="418"/>
      <c r="J19" s="418"/>
      <c r="K19" s="82"/>
      <c r="L19" s="342"/>
    </row>
    <row r="20" spans="1:12" s="306" customFormat="1" ht="15.95" customHeight="1" thickBot="1">
      <c r="A20" s="316"/>
      <c r="B20" s="38"/>
      <c r="C20" s="325"/>
      <c r="D20" s="326"/>
      <c r="E20" s="326"/>
      <c r="F20" s="40">
        <f>SUM(F8:F19)</f>
        <v>70</v>
      </c>
      <c r="G20" s="419"/>
      <c r="H20" s="419"/>
      <c r="I20" s="419"/>
      <c r="J20" s="420"/>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24" t="s">
        <v>37</v>
      </c>
      <c r="E27" s="425"/>
      <c r="F27" s="426" t="s">
        <v>38</v>
      </c>
      <c r="G27" s="427"/>
      <c r="H27" s="428" t="s">
        <v>32</v>
      </c>
      <c r="I27" s="429"/>
      <c r="J27" s="430"/>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533"/>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F6:F7"/>
    <mergeCell ref="G6:H7"/>
    <mergeCell ref="I6:J7"/>
    <mergeCell ref="A6:A7"/>
    <mergeCell ref="B6:B7"/>
    <mergeCell ref="C6:C7"/>
    <mergeCell ref="D6:D7"/>
    <mergeCell ref="E6:E7"/>
    <mergeCell ref="G20:J20"/>
    <mergeCell ref="D27:E27"/>
    <mergeCell ref="F27:G27"/>
    <mergeCell ref="H27:J27"/>
    <mergeCell ref="G17:H17"/>
    <mergeCell ref="I17:J17"/>
    <mergeCell ref="G18:H18"/>
    <mergeCell ref="I18:J18"/>
    <mergeCell ref="G19:H19"/>
    <mergeCell ref="I19:J19"/>
    <mergeCell ref="G14:H14"/>
    <mergeCell ref="I14:J14"/>
    <mergeCell ref="G15:H15"/>
    <mergeCell ref="I15:J15"/>
    <mergeCell ref="G16:H16"/>
    <mergeCell ref="I16:J16"/>
    <mergeCell ref="G11:H11"/>
    <mergeCell ref="I11:J11"/>
    <mergeCell ref="G12:H12"/>
    <mergeCell ref="I12:J12"/>
    <mergeCell ref="G13:H13"/>
    <mergeCell ref="I13:J13"/>
    <mergeCell ref="G8:H8"/>
    <mergeCell ref="I8:J8"/>
    <mergeCell ref="G9:H9"/>
    <mergeCell ref="I9:J9"/>
    <mergeCell ref="G10:H10"/>
    <mergeCell ref="I10:J10"/>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A7" workbookViewId="0">
      <selection activeCell="H29" sqref="H28:H29"/>
    </sheetView>
  </sheetViews>
  <sheetFormatPr defaultColWidth="9.140625" defaultRowHeight="15"/>
  <cols>
    <col min="1" max="1" width="1.7109375" style="233" customWidth="1"/>
    <col min="2" max="2" width="3" style="233" customWidth="1"/>
    <col min="3" max="3" width="7.42578125" style="234" customWidth="1"/>
    <col min="4" max="4" width="38.42578125" style="233" bestFit="1"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52" t="s">
        <v>60</v>
      </c>
      <c r="E13" s="463" t="s">
        <v>61</v>
      </c>
      <c r="F13" s="464"/>
      <c r="G13" s="268"/>
      <c r="H13" s="455" t="s">
        <v>41</v>
      </c>
      <c r="I13" s="463" t="s">
        <v>62</v>
      </c>
      <c r="J13" s="467"/>
      <c r="K13" s="458" t="s">
        <v>32</v>
      </c>
      <c r="L13" s="291"/>
    </row>
    <row r="14" spans="2:12" ht="12.75" customHeight="1">
      <c r="B14" s="240"/>
      <c r="C14" s="269" t="s">
        <v>63</v>
      </c>
      <c r="D14" s="453"/>
      <c r="E14" s="465"/>
      <c r="F14" s="466"/>
      <c r="G14" s="270" t="s">
        <v>64</v>
      </c>
      <c r="H14" s="456"/>
      <c r="I14" s="468"/>
      <c r="J14" s="469"/>
      <c r="K14" s="459"/>
      <c r="L14" s="291"/>
    </row>
    <row r="15" spans="2:12" ht="12.75" customHeight="1">
      <c r="B15" s="240"/>
      <c r="C15" s="271"/>
      <c r="D15" s="454"/>
      <c r="E15" s="272" t="s">
        <v>65</v>
      </c>
      <c r="F15" s="272" t="s">
        <v>66</v>
      </c>
      <c r="G15" s="273" t="s">
        <v>67</v>
      </c>
      <c r="H15" s="457"/>
      <c r="I15" s="470"/>
      <c r="J15" s="471"/>
      <c r="K15" s="460"/>
      <c r="L15" s="291"/>
    </row>
    <row r="16" spans="2:12">
      <c r="B16" s="240"/>
      <c r="C16" s="274" t="s">
        <v>68</v>
      </c>
      <c r="D16" s="536" t="s">
        <v>179</v>
      </c>
      <c r="E16" s="275"/>
      <c r="F16" s="538" t="s">
        <v>185</v>
      </c>
      <c r="G16" s="318">
        <v>20</v>
      </c>
      <c r="H16" s="276"/>
      <c r="I16" s="448">
        <f>G16*H16</f>
        <v>0</v>
      </c>
      <c r="J16" s="449"/>
      <c r="K16" s="302"/>
      <c r="L16" s="291"/>
    </row>
    <row r="17" spans="2:12" ht="16.5">
      <c r="B17" s="240"/>
      <c r="C17" s="274" t="s">
        <v>69</v>
      </c>
      <c r="D17" s="537" t="s">
        <v>180</v>
      </c>
      <c r="E17" s="277"/>
      <c r="F17" s="538" t="s">
        <v>186</v>
      </c>
      <c r="G17" s="321">
        <v>15</v>
      </c>
      <c r="H17" s="278"/>
      <c r="I17" s="450">
        <f t="shared" ref="I17:I19" si="0">H17*G17</f>
        <v>0</v>
      </c>
      <c r="J17" s="451"/>
      <c r="K17" s="302"/>
      <c r="L17" s="291"/>
    </row>
    <row r="18" spans="2:12" ht="16.5">
      <c r="B18" s="240"/>
      <c r="C18" s="274" t="s">
        <v>70</v>
      </c>
      <c r="D18" s="537" t="s">
        <v>181</v>
      </c>
      <c r="E18" s="277"/>
      <c r="F18" s="538" t="s">
        <v>187</v>
      </c>
      <c r="G18" s="321">
        <v>15</v>
      </c>
      <c r="H18" s="279"/>
      <c r="I18" s="450">
        <f t="shared" si="0"/>
        <v>0</v>
      </c>
      <c r="J18" s="451"/>
      <c r="K18" s="303"/>
      <c r="L18" s="291"/>
    </row>
    <row r="19" spans="2:12" ht="16.5">
      <c r="B19" s="240"/>
      <c r="C19" s="274" t="s">
        <v>71</v>
      </c>
      <c r="D19" s="536" t="s">
        <v>182</v>
      </c>
      <c r="E19" s="277"/>
      <c r="F19" s="526" t="s">
        <v>188</v>
      </c>
      <c r="G19" s="321">
        <v>10</v>
      </c>
      <c r="H19" s="279"/>
      <c r="I19" s="450">
        <f t="shared" si="0"/>
        <v>0</v>
      </c>
      <c r="J19" s="451"/>
      <c r="K19" s="303"/>
      <c r="L19" s="291"/>
    </row>
    <row r="20" spans="2:12" ht="17.25" thickBot="1">
      <c r="B20" s="240"/>
      <c r="C20" s="274" t="s">
        <v>72</v>
      </c>
      <c r="D20" s="537" t="s">
        <v>183</v>
      </c>
      <c r="E20" s="277"/>
      <c r="F20" s="538" t="s">
        <v>189</v>
      </c>
      <c r="G20" s="321">
        <v>10</v>
      </c>
      <c r="H20" s="279"/>
      <c r="I20" s="450">
        <f t="shared" ref="I20" si="1">H20*G20</f>
        <v>0</v>
      </c>
      <c r="J20" s="451"/>
      <c r="K20" s="303"/>
      <c r="L20" s="291"/>
    </row>
    <row r="21" spans="2:12" ht="6.75" customHeight="1">
      <c r="B21" s="240"/>
      <c r="C21" s="280"/>
      <c r="D21" s="238"/>
      <c r="E21" s="472" t="s">
        <v>73</v>
      </c>
      <c r="F21" s="473"/>
      <c r="G21" s="281"/>
      <c r="H21" s="282"/>
      <c r="I21" s="476">
        <f>SUM(I16:J20)</f>
        <v>0</v>
      </c>
      <c r="J21" s="477"/>
      <c r="K21" s="461"/>
      <c r="L21" s="291"/>
    </row>
    <row r="22" spans="2:12" ht="14.1" customHeight="1">
      <c r="B22" s="240"/>
      <c r="C22" s="283"/>
      <c r="D22" s="284"/>
      <c r="E22" s="474"/>
      <c r="F22" s="475"/>
      <c r="G22" s="285"/>
      <c r="H22" s="286"/>
      <c r="I22" s="478"/>
      <c r="J22" s="479"/>
      <c r="K22" s="46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80" t="s">
        <v>74</v>
      </c>
      <c r="B1" s="481"/>
      <c r="C1" s="481"/>
      <c r="D1" s="481"/>
      <c r="E1" s="481"/>
      <c r="F1" s="481"/>
      <c r="G1" s="481"/>
      <c r="H1" s="481"/>
      <c r="I1" s="481"/>
      <c r="J1" s="481"/>
      <c r="K1" s="481"/>
      <c r="L1" s="482"/>
    </row>
    <row r="2" spans="1:12" s="176" customFormat="1" ht="112.5">
      <c r="A2" s="487" t="s">
        <v>75</v>
      </c>
      <c r="B2" s="493" t="s">
        <v>76</v>
      </c>
      <c r="C2" s="493" t="s">
        <v>77</v>
      </c>
      <c r="D2" s="185" t="s">
        <v>78</v>
      </c>
      <c r="E2" s="185" t="s">
        <v>79</v>
      </c>
      <c r="F2" s="185" t="s">
        <v>80</v>
      </c>
      <c r="G2" s="185" t="s">
        <v>81</v>
      </c>
      <c r="H2" s="185" t="s">
        <v>82</v>
      </c>
      <c r="I2" s="495" t="s">
        <v>83</v>
      </c>
      <c r="J2" s="497" t="s">
        <v>84</v>
      </c>
      <c r="K2" s="497" t="s">
        <v>85</v>
      </c>
      <c r="L2" s="499" t="s">
        <v>86</v>
      </c>
    </row>
    <row r="3" spans="1:12" s="177" customFormat="1">
      <c r="A3" s="488"/>
      <c r="B3" s="494"/>
      <c r="C3" s="494"/>
      <c r="D3" s="186">
        <v>1</v>
      </c>
      <c r="E3" s="186">
        <v>2</v>
      </c>
      <c r="F3" s="186">
        <v>3</v>
      </c>
      <c r="G3" s="186">
        <v>4</v>
      </c>
      <c r="H3" s="186">
        <v>5</v>
      </c>
      <c r="I3" s="496"/>
      <c r="J3" s="498"/>
      <c r="K3" s="498"/>
      <c r="L3" s="500"/>
    </row>
    <row r="4" spans="1:12" s="176" customFormat="1" ht="300">
      <c r="A4" s="489"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90"/>
      <c r="B5" s="189"/>
      <c r="C5" s="190" t="s">
        <v>94</v>
      </c>
      <c r="D5" s="190" t="s">
        <v>95</v>
      </c>
      <c r="E5" s="190" t="s">
        <v>96</v>
      </c>
      <c r="F5" s="190" t="s">
        <v>97</v>
      </c>
      <c r="G5" s="190" t="s">
        <v>98</v>
      </c>
      <c r="H5" s="190" t="s">
        <v>99</v>
      </c>
      <c r="I5" s="210">
        <v>0.03</v>
      </c>
      <c r="J5" s="211"/>
      <c r="K5" s="212">
        <f t="shared" si="0"/>
        <v>0</v>
      </c>
      <c r="L5" s="213"/>
    </row>
    <row r="6" spans="1:12" s="176" customFormat="1" ht="131.25">
      <c r="A6" s="491"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90"/>
      <c r="B7" s="189"/>
      <c r="C7" s="190" t="s">
        <v>107</v>
      </c>
      <c r="D7" s="190" t="s">
        <v>108</v>
      </c>
      <c r="E7" s="190" t="s">
        <v>109</v>
      </c>
      <c r="F7" s="388" t="s">
        <v>110</v>
      </c>
      <c r="G7" s="190" t="s">
        <v>111</v>
      </c>
      <c r="H7" s="190" t="s">
        <v>112</v>
      </c>
      <c r="I7" s="210">
        <v>0.03</v>
      </c>
      <c r="J7" s="211"/>
      <c r="K7" s="212">
        <f t="shared" si="0"/>
        <v>0</v>
      </c>
      <c r="L7" s="213"/>
    </row>
    <row r="8" spans="1:12" s="176" customFormat="1" ht="206.25">
      <c r="A8" s="491"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2"/>
      <c r="B9" s="194"/>
      <c r="C9" s="195" t="s">
        <v>121</v>
      </c>
      <c r="D9" s="196" t="s">
        <v>122</v>
      </c>
      <c r="E9" s="196" t="s">
        <v>123</v>
      </c>
      <c r="F9" s="196" t="s">
        <v>124</v>
      </c>
      <c r="G9" s="196" t="s">
        <v>125</v>
      </c>
      <c r="H9" s="196" t="s">
        <v>126</v>
      </c>
      <c r="I9" s="222">
        <v>0.02</v>
      </c>
      <c r="J9" s="223"/>
      <c r="K9" s="224">
        <f t="shared" si="0"/>
        <v>0</v>
      </c>
      <c r="L9" s="225"/>
    </row>
    <row r="10" spans="1:12" s="176" customFormat="1" ht="187.5">
      <c r="A10" s="490"/>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3" t="s">
        <v>149</v>
      </c>
      <c r="B13" s="484"/>
      <c r="C13" s="484"/>
      <c r="D13" s="484"/>
      <c r="E13" s="484"/>
      <c r="F13" s="484"/>
      <c r="G13" s="484"/>
      <c r="H13" s="484"/>
      <c r="I13" s="485">
        <f>SUM(I3:I12)</f>
        <v>0.29999999999999993</v>
      </c>
      <c r="J13" s="486"/>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14" t="s">
        <v>172</v>
      </c>
      <c r="C28" s="515"/>
      <c r="D28" s="515"/>
      <c r="E28" s="515"/>
      <c r="F28" s="515"/>
      <c r="G28" s="515"/>
      <c r="H28" s="515"/>
      <c r="I28" s="515"/>
      <c r="J28" s="515"/>
      <c r="K28" s="516"/>
      <c r="L28" s="161"/>
    </row>
    <row r="29" spans="1:12" ht="147.75" customHeight="1">
      <c r="A29" s="107"/>
      <c r="B29" s="517"/>
      <c r="C29" s="518"/>
      <c r="D29" s="518"/>
      <c r="E29" s="518"/>
      <c r="F29" s="518"/>
      <c r="G29" s="518"/>
      <c r="H29" s="518"/>
      <c r="I29" s="518"/>
      <c r="J29" s="518"/>
      <c r="K29" s="519"/>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431" t="s">
        <v>25</v>
      </c>
      <c r="C4" s="433" t="s">
        <v>26</v>
      </c>
      <c r="D4" s="433" t="s">
        <v>27</v>
      </c>
      <c r="E4" s="435" t="s">
        <v>28</v>
      </c>
      <c r="F4" s="437" t="s">
        <v>29</v>
      </c>
      <c r="G4" s="437" t="s">
        <v>30</v>
      </c>
      <c r="H4" s="433" t="s">
        <v>31</v>
      </c>
      <c r="I4" s="438"/>
      <c r="J4" s="433" t="s">
        <v>173</v>
      </c>
      <c r="K4" s="438"/>
      <c r="L4" s="82"/>
    </row>
    <row r="5" spans="1:12" ht="24.75" customHeight="1">
      <c r="A5" s="8"/>
      <c r="B5" s="432"/>
      <c r="C5" s="434"/>
      <c r="D5" s="434"/>
      <c r="E5" s="436"/>
      <c r="F5" s="436"/>
      <c r="G5" s="436"/>
      <c r="H5" s="434"/>
      <c r="I5" s="439"/>
      <c r="J5" s="440"/>
      <c r="K5" s="441"/>
      <c r="L5" s="82"/>
    </row>
    <row r="6" spans="1:12" ht="16.5">
      <c r="A6" s="8"/>
      <c r="B6" s="18" t="s">
        <v>68</v>
      </c>
      <c r="C6" s="19"/>
      <c r="D6" s="19"/>
      <c r="E6" s="20"/>
      <c r="F6" s="21"/>
      <c r="G6" s="22"/>
      <c r="H6" s="520"/>
      <c r="I6" s="520"/>
      <c r="J6" s="521"/>
      <c r="K6" s="521"/>
      <c r="L6" s="83"/>
    </row>
    <row r="7" spans="1:12" ht="16.5">
      <c r="A7" s="8"/>
      <c r="B7" s="23" t="s">
        <v>69</v>
      </c>
      <c r="C7" s="24"/>
      <c r="D7" s="25"/>
      <c r="E7" s="26"/>
      <c r="F7" s="27"/>
      <c r="G7" s="28"/>
      <c r="H7" s="522"/>
      <c r="I7" s="522"/>
      <c r="J7" s="521"/>
      <c r="K7" s="521"/>
      <c r="L7" s="84"/>
    </row>
    <row r="8" spans="1:12" ht="15" customHeight="1">
      <c r="A8" s="8"/>
      <c r="B8" s="29" t="s">
        <v>70</v>
      </c>
      <c r="C8" s="30"/>
      <c r="D8" s="25"/>
      <c r="E8" s="31"/>
      <c r="F8" s="27"/>
      <c r="G8" s="28"/>
      <c r="H8" s="522"/>
      <c r="I8" s="522"/>
      <c r="J8" s="521"/>
      <c r="K8" s="521"/>
      <c r="L8" s="82"/>
    </row>
    <row r="9" spans="1:12" ht="16.5">
      <c r="A9" s="8"/>
      <c r="B9" s="23" t="s">
        <v>71</v>
      </c>
      <c r="C9" s="30"/>
      <c r="D9" s="25"/>
      <c r="E9" s="31"/>
      <c r="F9" s="32"/>
      <c r="G9" s="28"/>
      <c r="H9" s="522"/>
      <c r="I9" s="522"/>
      <c r="J9" s="521"/>
      <c r="K9" s="521"/>
      <c r="L9" s="84"/>
    </row>
    <row r="10" spans="1:12" ht="16.5">
      <c r="A10" s="8"/>
      <c r="B10" s="23" t="s">
        <v>72</v>
      </c>
      <c r="C10" s="30"/>
      <c r="D10" s="25"/>
      <c r="E10" s="31"/>
      <c r="F10" s="27"/>
      <c r="G10" s="28"/>
      <c r="H10" s="522"/>
      <c r="I10" s="522"/>
      <c r="J10" s="521"/>
      <c r="K10" s="521"/>
      <c r="L10" s="84"/>
    </row>
    <row r="11" spans="1:12" ht="16.5">
      <c r="A11" s="8"/>
      <c r="B11" s="33" t="s">
        <v>174</v>
      </c>
      <c r="C11" s="34"/>
      <c r="D11" s="30"/>
      <c r="E11" s="31"/>
      <c r="F11" s="35"/>
      <c r="G11" s="36"/>
      <c r="H11" s="522"/>
      <c r="I11" s="522"/>
      <c r="J11" s="521"/>
      <c r="K11" s="521"/>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421" t="s">
        <v>33</v>
      </c>
      <c r="C16" s="422"/>
      <c r="D16" s="422"/>
      <c r="E16" s="422"/>
      <c r="F16" s="422"/>
      <c r="G16" s="422"/>
      <c r="H16" s="422"/>
      <c r="I16" s="422"/>
      <c r="J16" s="422"/>
      <c r="K16" s="423"/>
      <c r="L16" s="82"/>
    </row>
    <row r="17" spans="1:12" ht="13.5">
      <c r="A17" s="8"/>
      <c r="B17" s="442" t="s">
        <v>34</v>
      </c>
      <c r="C17" s="443"/>
      <c r="D17" s="443"/>
      <c r="E17" s="443"/>
      <c r="F17" s="443"/>
      <c r="G17" s="443"/>
      <c r="H17" s="443"/>
      <c r="I17" s="443"/>
      <c r="J17" s="443"/>
      <c r="K17" s="444"/>
      <c r="L17" s="82"/>
    </row>
    <row r="18" spans="1:12" ht="13.5">
      <c r="A18" s="8"/>
      <c r="B18" s="445"/>
      <c r="C18" s="446"/>
      <c r="D18" s="446"/>
      <c r="E18" s="446"/>
      <c r="F18" s="446"/>
      <c r="G18" s="446"/>
      <c r="H18" s="446"/>
      <c r="I18" s="446"/>
      <c r="J18" s="446"/>
      <c r="K18" s="447"/>
      <c r="L18" s="82"/>
    </row>
    <row r="19" spans="1:12" ht="15">
      <c r="A19" s="8"/>
      <c r="B19" s="54" t="s">
        <v>25</v>
      </c>
      <c r="C19" s="55" t="s">
        <v>35</v>
      </c>
      <c r="D19" s="17" t="s">
        <v>36</v>
      </c>
      <c r="E19" s="424" t="s">
        <v>37</v>
      </c>
      <c r="F19" s="425"/>
      <c r="G19" s="426" t="s">
        <v>38</v>
      </c>
      <c r="H19" s="427"/>
      <c r="I19" s="428" t="s">
        <v>32</v>
      </c>
      <c r="J19" s="429"/>
      <c r="K19" s="43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E19:F19"/>
    <mergeCell ref="G19:H19"/>
    <mergeCell ref="I19:K19"/>
    <mergeCell ref="H9:I9"/>
    <mergeCell ref="J9:K9"/>
    <mergeCell ref="H10:I10"/>
    <mergeCell ref="J10:K10"/>
    <mergeCell ref="H11:I11"/>
    <mergeCell ref="J11:K11"/>
    <mergeCell ref="H6:I6"/>
    <mergeCell ref="J6:K6"/>
    <mergeCell ref="H7:I7"/>
    <mergeCell ref="J7:K7"/>
    <mergeCell ref="H8:I8"/>
    <mergeCell ref="J8:K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2025-04-05T12:51:39Z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